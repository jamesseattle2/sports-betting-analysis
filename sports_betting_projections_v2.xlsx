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ions vs Actu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<sst xmlns="http://schemas.openxmlformats.org/spreadsheetml/2006/main" count="41" uniqueCount="37">
  <si>
    <t xml:space="preserve">State</t>
  </si>
  <si>
    <t xml:space="preserve">Projection ($M, mature year)</t>
  </si>
  <si>
    <t xml:space="preserve">Year of Projection</t>
  </si>
  <si>
    <t xml:space="preserve">Source of Projection</t>
  </si>
  <si>
    <t xml:space="preserve">Actual Tax Revenue ($M)</t>
  </si>
  <si>
    <t xml:space="preserve">Year of Actual</t>
  </si>
  <si>
    <t xml:space="preserve">Variance vs Projection</t>
  </si>
  <si>
    <t xml:space="preserve">Notes</t>
  </si>
  <si>
    <t xml:space="preserve">New York</t>
  </si>
  <si>
    <t xml:space="preserve">FY 2022-23</t>
  </si>
  <si>
    <t xml:space="preserve">NY State Comptroller / NY Division of the Budget</t>
  </si>
  <si>
    <t xml:space="preserve">First full year of mobile betting; actual exceeded projection by 2x</t>
  </si>
  <si>
    <t xml:space="preserve">New Jersey</t>
  </si>
  <si>
    <t xml:space="preserve">FY 2019</t>
  </si>
  <si>
    <t xml:space="preserve">NJ State Treasurer Elizabeth Muoio (May 2018)</t>
  </si>
  <si>
    <t xml:space="preserve">First-year forecast; conservative pre-mobile estimate</t>
  </si>
  <si>
    <t xml:space="preserve">Arizona</t>
  </si>
  <si>
    <t xml:space="preserve">FY 2024</t>
  </si>
  <si>
    <t xml:space="preserve">AZ Joint Legislative Budget Committee (HB 2772)</t>
  </si>
  <si>
    <t xml:space="preserve">Approximation — verify from AZ Dept of Gaming</t>
  </si>
  <si>
    <t xml:space="preserve">North Carolina</t>
  </si>
  <si>
    <t xml:space="preserve">FY 2027-28</t>
  </si>
  <si>
    <t xml:space="preserve">NC General Assembly Fiscal Research Division</t>
  </si>
  <si>
    <t xml:space="preserve">FY 2024-25 (Year 1)</t>
  </si>
  <si>
    <t xml:space="preserve">Hit Year-4 projection in Year 1 — most striking variance in dataset</t>
  </si>
  <si>
    <t xml:space="preserve">Maryland</t>
  </si>
  <si>
    <t xml:space="preserve">FY 2023+ (mature)</t>
  </si>
  <si>
    <t xml:space="preserve">MD Official State Projection (Question 2 Referendum)</t>
  </si>
  <si>
    <t xml:space="preserve">Approximation — verify from MD Lottery &amp; Gaming</t>
  </si>
  <si>
    <t xml:space="preserve">Virginia</t>
  </si>
  <si>
    <t xml:space="preserve">FY 2024 (mature)</t>
  </si>
  <si>
    <t xml:space="preserve">VA Joint Legislative Audit and Review Commission</t>
  </si>
  <si>
    <t xml:space="preserve">FY 2023</t>
  </si>
  <si>
    <t xml:space="preserve">Closest match to projection; tax loophole closure boosted actuals</t>
  </si>
  <si>
    <t xml:space="preserve">AVERAGE VARIANCE</t>
  </si>
  <si>
    <t xml:space="preserve">MIN VARIANCE</t>
  </si>
  <si>
    <t xml:space="preserve">MAX VARIANCE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</si>
</sst>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+0.0%;\-0.0%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50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7.5" hidden="false" customHeight="true" outlineLevel="0" collapsed="false">
      <c r="A2" s="2" t="s">
        <v>8</v>
      </c>
      <c r="B2" s="3" t="n">
        <v>357</v>
      </c>
      <c r="C2" s="2" t="s">
        <v>9</v>
      </c>
      <c r="D2" s="2" t="s">
        <v>10</v>
      </c>
      <c r="E2" s="3" t="n">
        <v>727</v>
      </c>
      <c r="F2" s="2" t="s">
        <v>9</v>
      </c>
      <c r="G2" s="4" t="n">
        <f aca="false">(E2-B2)/B2</f>
        <v>1.03641456582633</v>
      </c>
      <c r="H2" s="2" t="s">
        <v>11</v>
      </c>
    </row>
    <row r="3" customFormat="false" ht="37.5" hidden="false" customHeight="true" outlineLevel="0" collapsed="false">
      <c r="A3" s="2" t="s">
        <v>12</v>
      </c>
      <c r="B3" s="3" t="n">
        <v>13</v>
      </c>
      <c r="C3" s="2" t="s">
        <v>13</v>
      </c>
      <c r="D3" s="2" t="s">
        <v>14</v>
      </c>
      <c r="E3" s="3" t="n">
        <v>23</v>
      </c>
      <c r="F3" s="2" t="s">
        <v>13</v>
      </c>
      <c r="G3" s="4" t="n">
        <f aca="false">(E3-B3)/B3</f>
        <v>0.769230769230769</v>
      </c>
      <c r="H3" s="2" t="s">
        <v>15</v>
      </c>
    </row>
    <row r="4" customFormat="false" ht="37.5" hidden="false" customHeight="true" outlineLevel="0" collapsed="false">
      <c r="A4" s="2" t="s">
        <v>16</v>
      </c>
      <c r="B4" s="3" t="n">
        <v>34</v>
      </c>
      <c r="C4" s="2" t="s">
        <v>17</v>
      </c>
      <c r="D4" s="2" t="s">
        <v>18</v>
      </c>
      <c r="E4" s="3" t="n">
        <v>70</v>
      </c>
      <c r="F4" s="2" t="s">
        <v>17</v>
      </c>
      <c r="G4" s="4" t="n">
        <f aca="false">(E4-B4)/B4</f>
        <v>1.05882352941176</v>
      </c>
      <c r="H4" s="2" t="s">
        <v>19</v>
      </c>
    </row>
    <row r="5" customFormat="false" ht="37.5" hidden="false" customHeight="true" outlineLevel="0" collapsed="false">
      <c r="A5" s="2" t="s">
        <v>20</v>
      </c>
      <c r="B5" s="3" t="n">
        <v>100</v>
      </c>
      <c r="C5" s="2" t="s">
        <v>21</v>
      </c>
      <c r="D5" s="2" t="s">
        <v>22</v>
      </c>
      <c r="E5" s="3" t="n">
        <v>131</v>
      </c>
      <c r="F5" s="2" t="s">
        <v>23</v>
      </c>
      <c r="G5" s="4" t="n">
        <f aca="false">(E5-B5)/B5</f>
        <v>0.31</v>
      </c>
      <c r="H5" s="2" t="s">
        <v>24</v>
      </c>
    </row>
    <row r="6" customFormat="false" ht="37.5" hidden="false" customHeight="true" outlineLevel="0" collapsed="false">
      <c r="A6" s="2" t="s">
        <v>25</v>
      </c>
      <c r="B6" s="3" t="n">
        <v>20</v>
      </c>
      <c r="C6" s="2" t="s">
        <v>26</v>
      </c>
      <c r="D6" s="2" t="s">
        <v>27</v>
      </c>
      <c r="E6" s="3" t="n">
        <v>117</v>
      </c>
      <c r="F6" s="2" t="s">
        <v>17</v>
      </c>
      <c r="G6" s="4" t="n">
        <f aca="false">(E6-B6)/B6</f>
        <v>4.85</v>
      </c>
      <c r="H6" s="2" t="s">
        <v>28</v>
      </c>
    </row>
    <row r="7" customFormat="false" ht="37.5" hidden="false" customHeight="true" outlineLevel="0" collapsed="false">
      <c r="A7" s="2" t="s">
        <v>29</v>
      </c>
      <c r="B7" s="3" t="n">
        <v>55</v>
      </c>
      <c r="C7" s="2" t="s">
        <v>30</v>
      </c>
      <c r="D7" s="2" t="s">
        <v>31</v>
      </c>
      <c r="E7" s="3" t="n">
        <v>72</v>
      </c>
      <c r="F7" s="2" t="s">
        <v>32</v>
      </c>
      <c r="G7" s="4" t="n">
        <f aca="false">(E7-B7)/B7</f>
        <v>0.309090909090909</v>
      </c>
      <c r="H7" s="2" t="s">
        <v>33</v>
      </c>
    </row>
    <row r="9" customFormat="false" ht="15" hidden="false" customHeight="false" outlineLevel="0" collapsed="false">
      <c r="A9" s="5" t="s">
        <v>34</v>
      </c>
      <c r="B9" s="5"/>
      <c r="C9" s="5"/>
      <c r="D9" s="5"/>
      <c r="E9" s="5"/>
      <c r="F9" s="5"/>
      <c r="G9" s="6" t="n">
        <f aca="false">AVERAGE(G2:G7)</f>
        <v>1.38892662892663</v>
      </c>
      <c r="H9" s="5"/>
    </row>
    <row r="10" customFormat="false" ht="15" hidden="false" customHeight="false" outlineLevel="0" collapsed="false">
      <c r="A10" s="5" t="s">
        <v>35</v>
      </c>
      <c r="B10" s="5"/>
      <c r="C10" s="5"/>
      <c r="D10" s="5"/>
      <c r="E10" s="5"/>
      <c r="F10" s="5"/>
      <c r="G10" s="6" t="n">
        <f aca="false">MIN(G2:G7)</f>
        <v>0.309090909090909</v>
      </c>
      <c r="H10" s="5"/>
    </row>
    <row r="11" customFormat="false" ht="15" hidden="false" customHeight="false" outlineLevel="0" collapsed="false">
      <c r="A11" s="5" t="s">
        <v>36</v>
      </c>
      <c r="B11" s="5"/>
      <c r="C11" s="5"/>
      <c r="D11" s="5"/>
      <c r="E11" s="5"/>
      <c r="F11" s="5"/>
      <c r="G11" s="6" t="n">
        <f aca="false">MAX(G2:G7)</f>
        <v>4.85</v>
      </c>
      <c r="H1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2026-05-08T22:20:54Z</dcterms:created>
  <dc:creator>openpyxl</dc:creator>
  <dc:description/>
  <dc:language>en-US</dc:language>
  <cp:lastModifiedBy/>
  <dcterms:modified xsi:type="dcterms:W3CDTF">2026-05-08T22:20:54Z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