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u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<sst xmlns="http://schemas.openxmlformats.org/spreadsheetml/2006/main" count="29" uniqueCount="29">
  <si>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State</t>
  </si>
  <si>
    <t xml:space="preserve">Online Launch Date</t>
  </si>
  <si>
    <t xml:space="preserve">Tax Rate</t>
  </si>
  <si>
    <t xml:space="preserve">Total Handle ($M)</t>
  </si>
  <si>
    <t xml:space="preserve">Total Revenue ($M)</t>
  </si>
  <si>
    <t xml:space="preserve">Total Tax Revenue ($M)</t>
  </si>
  <si>
    <t xml:space="preserve">Effective Hold %</t>
  </si>
  <si>
    <t xml:space="preserve">Tax per $ Wagered</t>
  </si>
  <si>
    <t xml:space="preserve">Source</t>
  </si>
  <si>
    <t xml:space="preserve">Notes</t>
  </si>
  <si>
    <t xml:space="preserve">New York</t>
  </si>
  <si>
    <t xml:space="preserve">NY State Gaming Commission</t>
  </si>
  <si>
    <t xml:space="preserve">Highest tax rate in nation; market launched Jan 8, 2022</t>
  </si>
  <si>
    <t xml:space="preserve">New Jersey</t>
  </si>
  <si>
    <t xml:space="preserve">NJ Division of Gaming Enforcement</t>
  </si>
  <si>
    <t xml:space="preserve">Online tax raised to 19.75% July 2025</t>
  </si>
  <si>
    <t xml:space="preserve">Arizona</t>
  </si>
  <si>
    <t xml:space="preserve">AZ Department of Gaming</t>
  </si>
  <si>
    <t xml:space="preserve">Approximation; verify from primary source</t>
  </si>
  <si>
    <t xml:space="preserve">North Carolina</t>
  </si>
  <si>
    <t xml:space="preserve">NC State Lottery Commission</t>
  </si>
  <si>
    <t xml:space="preserve">Newest market; less than 2 years of data</t>
  </si>
  <si>
    <t xml:space="preserve">Maryland</t>
  </si>
  <si>
    <t xml:space="preserve">MD Lottery &amp; Gaming Control Agency</t>
  </si>
  <si>
    <t xml:space="preserve">Tax rate raised to 20% July 2025</t>
  </si>
  <si>
    <t xml:space="preserve">Virginia</t>
  </si>
  <si>
    <t xml:space="preserve">Virginia Lottery</t>
  </si>
  <si>
    <t xml:space="preserve">Closed promotional deduction loophole in 2022</t>
  </si>
  <si>
    <t xml:space="preserve">TOTALS / AVERAGES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</si>
</sst>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yyyy"/>
    <numFmt numFmtId="166" formatCode="0.00%"/>
    <numFmt numFmtId="167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32"/>
    <col collapsed="false" customWidth="true" hidden="false" outlineLevel="0" max="10" min="10" style="0" width="42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1.5" hidden="false" customHeight="true" outlineLevel="0" collapsed="false">
      <c r="A2" s="2" t="s">
        <v>10</v>
      </c>
      <c r="B2" s="3" t="n">
        <v>44569</v>
      </c>
      <c r="C2" s="4" t="n">
        <v>0.51</v>
      </c>
      <c r="D2" s="5" t="n">
        <v>83000</v>
      </c>
      <c r="E2" s="5" t="n">
        <v>7100</v>
      </c>
      <c r="F2" s="5" t="n">
        <v>3600</v>
      </c>
      <c r="G2" s="4" t="n">
        <f aca="false">E2/D2</f>
        <v>0.0855421686746988</v>
      </c>
      <c r="H2" s="4" t="n">
        <f aca="false">F2/D2</f>
        <v>0.0433734939759036</v>
      </c>
      <c r="I2" s="2" t="s">
        <v>11</v>
      </c>
      <c r="J2" s="2" t="s">
        <v>12</v>
      </c>
    </row>
    <row r="3" customFormat="false" ht="31.5" hidden="false" customHeight="true" outlineLevel="0" collapsed="false">
      <c r="A3" s="2" t="s">
        <v>13</v>
      </c>
      <c r="B3" s="3" t="n">
        <v>43313</v>
      </c>
      <c r="C3" s="4" t="n">
        <v>0.13</v>
      </c>
      <c r="D3" s="5" t="n">
        <v>60000</v>
      </c>
      <c r="E3" s="5" t="n">
        <v>4500</v>
      </c>
      <c r="F3" s="5" t="n">
        <v>560</v>
      </c>
      <c r="G3" s="4" t="n">
        <f aca="false">E3/D3</f>
        <v>0.075</v>
      </c>
      <c r="H3" s="4" t="n">
        <f aca="false">F3/D3</f>
        <v>0.00933333333333333</v>
      </c>
      <c r="I3" s="2" t="s">
        <v>14</v>
      </c>
      <c r="J3" s="2" t="s">
        <v>15</v>
      </c>
    </row>
    <row r="4" customFormat="false" ht="31.5" hidden="false" customHeight="true" outlineLevel="0" collapsed="false">
      <c r="A4" s="2" t="s">
        <v>16</v>
      </c>
      <c r="B4" s="3" t="n">
        <v>44448</v>
      </c>
      <c r="C4" s="4" t="n">
        <v>0.15</v>
      </c>
      <c r="D4" s="5" t="n">
        <v>25000</v>
      </c>
      <c r="E4" s="5" t="n">
        <v>2200</v>
      </c>
      <c r="F4" s="5" t="n">
        <v>220</v>
      </c>
      <c r="G4" s="4" t="n">
        <f aca="false">E4/D4</f>
        <v>0.088</v>
      </c>
      <c r="H4" s="4" t="n">
        <f aca="false">F4/D4</f>
        <v>0.0088</v>
      </c>
      <c r="I4" s="2" t="s">
        <v>17</v>
      </c>
      <c r="J4" s="2" t="s">
        <v>18</v>
      </c>
    </row>
    <row r="5" customFormat="false" ht="31.5" hidden="false" customHeight="true" outlineLevel="0" collapsed="false">
      <c r="A5" s="2" t="s">
        <v>19</v>
      </c>
      <c r="B5" s="3" t="n">
        <v>45362</v>
      </c>
      <c r="C5" s="4" t="n">
        <v>0.18</v>
      </c>
      <c r="D5" s="5" t="n">
        <v>13500</v>
      </c>
      <c r="E5" s="5" t="n">
        <v>1500</v>
      </c>
      <c r="F5" s="5" t="n">
        <v>270</v>
      </c>
      <c r="G5" s="4" t="n">
        <f aca="false">E5/D5</f>
        <v>0.111111111111111</v>
      </c>
      <c r="H5" s="4" t="n">
        <f aca="false">F5/D5</f>
        <v>0.02</v>
      </c>
      <c r="I5" s="2" t="s">
        <v>20</v>
      </c>
      <c r="J5" s="2" t="s">
        <v>21</v>
      </c>
    </row>
    <row r="6" customFormat="false" ht="31.5" hidden="false" customHeight="true" outlineLevel="0" collapsed="false">
      <c r="A6" s="2" t="s">
        <v>22</v>
      </c>
      <c r="B6" s="3" t="n">
        <v>44888</v>
      </c>
      <c r="C6" s="4" t="n">
        <v>0.15</v>
      </c>
      <c r="D6" s="5" t="n">
        <v>18000</v>
      </c>
      <c r="E6" s="5" t="n">
        <v>1500</v>
      </c>
      <c r="F6" s="5" t="n">
        <v>225</v>
      </c>
      <c r="G6" s="4" t="n">
        <f aca="false">E6/D6</f>
        <v>0.0833333333333333</v>
      </c>
      <c r="H6" s="4" t="n">
        <f aca="false">F6/D6</f>
        <v>0.0125</v>
      </c>
      <c r="I6" s="2" t="s">
        <v>23</v>
      </c>
      <c r="J6" s="2" t="s">
        <v>24</v>
      </c>
    </row>
    <row r="7" customFormat="false" ht="31.5" hidden="false" customHeight="true" outlineLevel="0" collapsed="false">
      <c r="A7" s="2" t="s">
        <v>25</v>
      </c>
      <c r="B7" s="3" t="n">
        <v>44217</v>
      </c>
      <c r="C7" s="4" t="n">
        <v>0.15</v>
      </c>
      <c r="D7" s="5" t="n">
        <v>28000</v>
      </c>
      <c r="E7" s="5" t="n">
        <v>2400</v>
      </c>
      <c r="F7" s="5" t="n">
        <v>360</v>
      </c>
      <c r="G7" s="4" t="n">
        <f aca="false">E7/D7</f>
        <v>0.0857142857142857</v>
      </c>
      <c r="H7" s="4" t="n">
        <f aca="false">F7/D7</f>
        <v>0.0128571428571429</v>
      </c>
      <c r="I7" s="2" t="s">
        <v>26</v>
      </c>
      <c r="J7" s="2" t="s">
        <v>27</v>
      </c>
    </row>
    <row r="9" customFormat="false" ht="15" hidden="false" customHeight="false" outlineLevel="0" collapsed="false">
      <c r="A9" s="6" t="s">
        <v>28</v>
      </c>
      <c r="B9" s="6"/>
      <c r="C9" s="6"/>
      <c r="D9" s="7" t="n">
        <f aca="false">SUM(D2:D7)</f>
        <v>227500</v>
      </c>
      <c r="E9" s="7" t="n">
        <f aca="false">SUM(E2:E7)</f>
        <v>19200</v>
      </c>
      <c r="F9" s="7" t="n">
        <f aca="false">SUM(F2:F7)</f>
        <v>5235</v>
      </c>
      <c r="G9" s="8" t="n">
        <f aca="false">AVERAGE(G2:G7)</f>
        <v>0.0881168164722382</v>
      </c>
      <c r="H9" s="8" t="n">
        <f aca="false">AVERAGE(H2:H7)</f>
        <v>0.0178106616943966</v>
      </c>
      <c r="I9" s="6"/>
      <c r="J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2026-05-08T22:30:25Z</dcterms:created>
  <dc:creator>openpyxl</dc:creator>
  <dc:description/>
  <dc:language>en-US</dc:language>
  <cp:lastModifiedBy/>
  <dcterms:modified xsi:type="dcterms:W3CDTF">2026-05-08T22:30:25Z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